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21cfcd93492766/1 My_Notebook/Finance and Trading/1 Portfolio engineering/"/>
    </mc:Choice>
  </mc:AlternateContent>
  <xr:revisionPtr revIDLastSave="211" documentId="8_{17112F08-CA1E-406F-869E-BC8900D3F669}" xr6:coauthVersionLast="47" xr6:coauthVersionMax="47" xr10:uidLastSave="{F7E63B86-2479-4BB5-AC89-F3542723EA46}"/>
  <bookViews>
    <workbookView xWindow="-23148" yWindow="2244" windowWidth="23256" windowHeight="12576" activeTab="1" xr2:uid="{860D2789-24A6-474B-BA7C-751171DEEE9A}"/>
  </bookViews>
  <sheets>
    <sheet name="README" sheetId="2" r:id="rId1"/>
    <sheet name="Portfolio Holding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F21" i="1" s="1"/>
  <c r="G14" i="1"/>
  <c r="E14" i="1"/>
  <c r="D21" i="1"/>
  <c r="G12" i="1"/>
  <c r="G13" i="1"/>
  <c r="G15" i="1"/>
  <c r="G16" i="1"/>
  <c r="G17" i="1"/>
  <c r="E5" i="1"/>
  <c r="E8" i="1" s="1"/>
  <c r="G20" i="1" l="1"/>
  <c r="G11" i="1"/>
  <c r="G10" i="1"/>
  <c r="G9" i="1"/>
  <c r="G8" i="1"/>
  <c r="G7" i="1"/>
  <c r="G19" i="1"/>
  <c r="G18" i="1"/>
  <c r="E16" i="1"/>
  <c r="E7" i="1"/>
  <c r="E19" i="1"/>
  <c r="E18" i="1"/>
  <c r="E17" i="1"/>
  <c r="E15" i="1"/>
  <c r="E13" i="1"/>
  <c r="E12" i="1"/>
  <c r="E11" i="1"/>
  <c r="E10" i="1"/>
  <c r="E9" i="1"/>
  <c r="G21" i="1" l="1"/>
  <c r="E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Emmanuel J Rodriguez</author>
  </authors>
  <commentList>
    <comment ref="C1" authorId="0" shapeId="0" xr:uid="{F230D7CF-4D3C-4075-AC69-9610091D4EBA}">
      <text>
        <r>
          <rPr>
            <b/>
            <sz val="9"/>
            <color indexed="81"/>
            <rFont val="Tahoma"/>
            <family val="2"/>
          </rPr>
          <t>Emmanuel J Rodriguez:</t>
        </r>
        <r>
          <rPr>
            <sz val="9"/>
            <color indexed="81"/>
            <rFont val="Tahoma"/>
            <family val="2"/>
          </rPr>
          <t xml:space="preserve">
Sat 11/29,
Note: When running the python script to calc how your portfolio has performed, the time period should begin at this date, since this "day 1" of the portfolio.</t>
        </r>
      </text>
    </comment>
    <comment ref="E4" authorId="0" shapeId="0" xr:uid="{928F136F-81DE-424D-92F1-747DC50EF1C6}">
      <text>
        <r>
          <rPr>
            <b/>
            <sz val="9"/>
            <color indexed="81"/>
            <rFont val="Tahoma"/>
            <family val="2"/>
          </rPr>
          <t>Emmanuel J Rodriguez:</t>
        </r>
        <r>
          <rPr>
            <sz val="9"/>
            <color indexed="81"/>
            <rFont val="Tahoma"/>
            <family val="2"/>
          </rPr>
          <t xml:space="preserve">
sat 11/29/25,
Note: Does not include the 5x NDAQ shares owned. For now, this Index Fund allocation will be left out of this portfolio.</t>
        </r>
      </text>
    </comment>
    <comment ref="D6" authorId="0" shapeId="0" xr:uid="{3C1C459B-E750-4758-BAC9-FCD42C27D688}">
      <text>
        <r>
          <rPr>
            <b/>
            <sz val="9"/>
            <color indexed="81"/>
            <rFont val="Tahoma"/>
            <family val="2"/>
          </rPr>
          <t>Emmanuel J Rodriguez:</t>
        </r>
        <r>
          <rPr>
            <sz val="9"/>
            <color indexed="81"/>
            <rFont val="Tahoma"/>
            <family val="2"/>
          </rPr>
          <t xml:space="preserve">
Sat 11/29/25 -- Note: Deviating from the given Optimized Sector ETF distribution for a # of reasons, but I'll state one here:
1. This optimization is based off historical data, and the ARK ETFs don't have a lot of history, they're new. I want to invest into these assets, as their potential upside is predicted (by my own "gut" feel) to be HIGH.</t>
        </r>
      </text>
    </comment>
  </commentList>
</comments>
</file>

<file path=xl/sharedStrings.xml><?xml version="1.0" encoding="utf-8"?>
<sst xmlns="http://schemas.openxmlformats.org/spreadsheetml/2006/main" count="62" uniqueCount="48">
  <si>
    <t>"Diversified Portfolio with Performance Evaluation" script:</t>
  </si>
  <si>
    <t>Portfolio_Engineering.ipynb</t>
  </si>
  <si>
    <t>Local location:</t>
  </si>
  <si>
    <t>C:\Users\ejoaq\OneDrive\1 My_Notebook\Finance and Trading\1 Portfolio engineering</t>
  </si>
  <si>
    <t>Remote repo:</t>
  </si>
  <si>
    <t>https://github.com/mannyjrod/portfolio_engineering/tree/main</t>
  </si>
  <si>
    <t>Sector</t>
  </si>
  <si>
    <t>Asset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</si>
  <si>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</si>
  <si>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</si>
  <si>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</si>
  <si>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</si>
  <si>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</si>
  <si>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</si>
  <si>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</si>
  <si>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</si>
  <si>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</si>
  <si>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</si>
  <si>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</si>
  <si>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Weight</t>
  </si>
  <si>
    <t>ESPO</t>
  </si>
  <si>
    <t>ONLN</t>
  </si>
  <si>
    <t>KXI</t>
  </si>
  <si>
    <t>URA</t>
  </si>
  <si>
    <t>ARKF</t>
  </si>
  <si>
    <t>ARKG</t>
  </si>
  <si>
    <t>ARKX</t>
  </si>
  <si>
    <t>QTUM</t>
  </si>
  <si>
    <t>GOAU</t>
  </si>
  <si>
    <t>RWO</t>
  </si>
  <si>
    <t>UTES</t>
  </si>
  <si>
    <t>Total:</t>
  </si>
  <si>
    <t>Optimized sector ETF weights, from 11/29/25 script execution:</t>
  </si>
  <si>
    <t>Portfolio Holdings notes:</t>
  </si>
  <si>
    <t>These holdings are expected to be re-balanced every so-often, say every 6 months or so.</t>
  </si>
  <si>
    <t>Portfolio balance date:</t>
  </si>
  <si>
    <t>Capital:</t>
  </si>
  <si>
    <t>Schwab-</t>
  </si>
  <si>
    <t>Fidelity</t>
  </si>
  <si>
    <t>Fidelity-</t>
  </si>
  <si>
    <t>Holding brokerage</t>
  </si>
  <si>
    <t xml:space="preserve">Schwab </t>
  </si>
  <si>
    <t>ARKK</t>
  </si>
  <si>
    <t>Actual Investment</t>
  </si>
  <si>
    <t>Weight Investment</t>
  </si>
  <si>
    <t>Actual Weight</t>
  </si>
  <si>
    <t>Cash</t>
  </si>
  <si>
    <t>UFO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</si>
</sst>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0.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168" fontId="0" fillId="0" borderId="0" xfId="0" applyNumberFormat="1"/>
    <xf numFmtId="14" fontId="0" fillId="0" borderId="0" xfId="0" applyNumberFormat="1"/>
    <xf numFmtId="44" fontId="0" fillId="0" borderId="0" xfId="1" applyFont="1"/>
    <xf numFmtId="0" fontId="0" fillId="0" borderId="0" xfId="0" applyAlignment="1">
      <alignment horizontal="right"/>
    </xf>
    <xf numFmtId="44" fontId="0" fillId="0" borderId="0" xfId="0" applyNumberFormat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0" borderId="0" xfId="0" applyFont="1" applyBorder="1"/>
    <xf numFmtId="0" fontId="0" fillId="0" borderId="2" xfId="0" applyBorder="1"/>
    <xf numFmtId="0" fontId="0" fillId="2" borderId="2" xfId="0" applyFill="1" applyBorder="1"/>
    <xf numFmtId="44" fontId="0" fillId="3" borderId="2" xfId="0" applyNumberFormat="1" applyFill="1" applyBorder="1"/>
    <xf numFmtId="44" fontId="0" fillId="3" borderId="2" xfId="1" applyFont="1" applyFill="1" applyBorder="1"/>
    <xf numFmtId="0" fontId="0" fillId="0" borderId="3" xfId="0" applyBorder="1"/>
    <xf numFmtId="44" fontId="2" fillId="0" borderId="0" xfId="0" applyNumberFormat="1" applyFont="1" applyBorder="1"/>
    <xf numFmtId="0" fontId="0" fillId="2" borderId="3" xfId="0" applyFill="1" applyBorder="1"/>
    <xf numFmtId="44" fontId="0" fillId="3" borderId="3" xfId="0" applyNumberFormat="1" applyFill="1" applyBorder="1"/>
    <xf numFmtId="44" fontId="0" fillId="3" borderId="3" xfId="1" applyFont="1" applyFill="1" applyBorder="1"/>
    <xf numFmtId="168" fontId="0" fillId="2" borderId="3" xfId="0" applyNumberFormat="1" applyFill="1" applyBorder="1"/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2" fillId="0" borderId="5" xfId="0" applyFont="1" applyFill="1" applyBorder="1" applyAlignment="1">
      <alignment wrapText="1"/>
    </xf>
    <xf numFmtId="0" fontId="0" fillId="0" borderId="6" xfId="0" applyBorder="1"/>
    <xf numFmtId="0" fontId="0" fillId="0" borderId="7" xfId="0" applyFill="1" applyBorder="1"/>
    <xf numFmtId="0" fontId="0" fillId="0" borderId="7" xfId="0" applyBorder="1"/>
    <xf numFmtId="44" fontId="0" fillId="0" borderId="7" xfId="1" applyFont="1" applyBorder="1"/>
    <xf numFmtId="168" fontId="0" fillId="0" borderId="9" xfId="0" applyNumberFormat="1" applyFill="1" applyBorder="1"/>
    <xf numFmtId="0" fontId="0" fillId="0" borderId="8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F6-48FA-BF3E-426334D887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0F6-48FA-BF3E-426334D887B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0F6-48FA-BF3E-426334D887B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0F6-48FA-BF3E-426334D887B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0F6-48FA-BF3E-426334D887B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0F6-48FA-BF3E-426334D887B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0F6-48FA-BF3E-426334D887B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0F6-48FA-BF3E-426334D887B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0F6-48FA-BF3E-426334D887B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0F6-48FA-BF3E-426334D887B1}"/>
              </c:ext>
            </c:extLst>
          </c:dPt>
          <c:dLbls>
            <c:dLbl>
              <c:idx val="0"/>
              <c:layout>
                <c:manualLayout>
                  <c:x val="1.1186165858600656E-2"/>
                  <c:y val="1.2863821205308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F6-48FA-BF3E-426334D887B1}"/>
                </c:ext>
              </c:extLst>
            </c:dLbl>
            <c:dLbl>
              <c:idx val="1"/>
              <c:layout>
                <c:manualLayout>
                  <c:x val="7.4228249908536492E-2"/>
                  <c:y val="5.550235824792137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0F6-48FA-BF3E-426334D887B1}"/>
                </c:ext>
              </c:extLst>
            </c:dLbl>
            <c:dLbl>
              <c:idx val="2"/>
              <c:layout>
                <c:manualLayout>
                  <c:x val="4.6043331589423343E-2"/>
                  <c:y val="9.878886494613131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0F6-48FA-BF3E-426334D887B1}"/>
                </c:ext>
              </c:extLst>
            </c:dLbl>
            <c:dLbl>
              <c:idx val="3"/>
              <c:layout>
                <c:manualLayout>
                  <c:x val="4.3990056741459019E-2"/>
                  <c:y val="-3.08563373225702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0F6-48FA-BF3E-426334D887B1}"/>
                </c:ext>
              </c:extLst>
            </c:dLbl>
            <c:dLbl>
              <c:idx val="7"/>
              <c:layout>
                <c:manualLayout>
                  <c:x val="-1.6389928019576075E-2"/>
                  <c:y val="2.00351967440415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0F6-48FA-BF3E-426334D887B1}"/>
                </c:ext>
              </c:extLst>
            </c:dLbl>
            <c:dLbl>
              <c:idx val="8"/>
              <c:layout>
                <c:manualLayout>
                  <c:x val="-0.13785652194660916"/>
                  <c:y val="-8.2069104167837822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0F6-48FA-BF3E-426334D887B1}"/>
                </c:ext>
              </c:extLst>
            </c:dLbl>
            <c:dLbl>
              <c:idx val="9"/>
              <c:layout>
                <c:manualLayout>
                  <c:x val="-9.2538343441660287E-2"/>
                  <c:y val="-5.83837436159298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0F6-48FA-BF3E-426334D887B1}"/>
                </c:ext>
              </c:extLst>
            </c:dLbl>
            <c:dLbl>
              <c:idx val="10"/>
              <c:layout>
                <c:manualLayout>
                  <c:x val="-2.5792184078585374E-2"/>
                  <c:y val="-1.30739888328917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0F6-48FA-BF3E-426334D887B1}"/>
                </c:ext>
              </c:extLst>
            </c:dLbl>
            <c:dLbl>
              <c:idx val="12"/>
              <c:layout>
                <c:manualLayout>
                  <c:x val="2.3358372105177876E-3"/>
                  <c:y val="-3.751393381426398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0F6-48FA-BF3E-426334D887B1}"/>
                </c:ext>
              </c:extLst>
            </c:dLbl>
            <c:dLbl>
              <c:idx val="13"/>
              <c:layout>
                <c:manualLayout>
                  <c:x val="-1.4182305775302004E-2"/>
                  <c:y val="1.02862460864977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0F6-48FA-BF3E-426334D887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'Portfolio Holdings'!$B$7:$B$20</c:f>
              <c:strCache>
                <c:ptCount val="14"/>
                <c:pt idx="0">
                  <c:v>Communication Services</c:v>
                </c:pt>
                <c:pt idx="1">
                  <c:v>Consumer Discretionary</c:v>
                </c:pt>
                <c:pt idx="2">
                  <c:v>Consumer Staples</c:v>
                </c:pt>
                <c:pt idx="3">
                  <c:v>Energy</c:v>
                </c:pt>
                <c:pt idx="4">
                  <c:v>Financials</c:v>
                </c:pt>
                <c:pt idx="5">
                  <c:v>Health Care</c:v>
                </c:pt>
                <c:pt idx="6">
                  <c:v>Industrials</c:v>
                </c:pt>
                <c:pt idx="7">
                  <c:v>Industrials</c:v>
                </c:pt>
                <c:pt idx="8">
                  <c:v>Information Technology</c:v>
                </c:pt>
                <c:pt idx="9">
                  <c:v>Information Technology</c:v>
                </c:pt>
                <c:pt idx="10">
                  <c:v>Materials</c:v>
                </c:pt>
                <c:pt idx="11">
                  <c:v>Real Estate</c:v>
                </c:pt>
                <c:pt idx="12">
                  <c:v>Utilities</c:v>
                </c:pt>
                <c:pt idx="13">
                  <c:v>Cash</c:v>
                </c:pt>
              </c:strCache>
            </c:strRef>
          </c:cat>
          <c:val>
            <c:numRef>
              <c:f>'Portfolio Holdings'!$G$7:$G$20</c:f>
              <c:numCache>
                <c:formatCode>0.0000</c:formatCode>
                <c:ptCount val="14"/>
                <c:pt idx="0">
                  <c:v>5.1705379906712257E-2</c:v>
                </c:pt>
                <c:pt idx="1">
                  <c:v>4.8729336294103136E-2</c:v>
                </c:pt>
                <c:pt idx="2">
                  <c:v>9.3024567339889327E-2</c:v>
                </c:pt>
                <c:pt idx="3">
                  <c:v>0.13041486024461599</c:v>
                </c:pt>
                <c:pt idx="4">
                  <c:v>4.5426668076557049E-2</c:v>
                </c:pt>
                <c:pt idx="5">
                  <c:v>2.5141870219590429E-2</c:v>
                </c:pt>
                <c:pt idx="6">
                  <c:v>2.5406224666032221E-2</c:v>
                </c:pt>
                <c:pt idx="7">
                  <c:v>2.3185647315921189E-2</c:v>
                </c:pt>
                <c:pt idx="8">
                  <c:v>8.8378978534418964E-2</c:v>
                </c:pt>
                <c:pt idx="9">
                  <c:v>5.2823892942323744E-2</c:v>
                </c:pt>
                <c:pt idx="10">
                  <c:v>0.14610224055079718</c:v>
                </c:pt>
                <c:pt idx="11">
                  <c:v>2.164651698330455E-2</c:v>
                </c:pt>
                <c:pt idx="12">
                  <c:v>0.16713780503565848</c:v>
                </c:pt>
                <c:pt idx="13">
                  <c:v>8.0876011890075414E-2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F6-48FA-BF3E-426334D887B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117232</xdr:colOff>
      <xdr:row>6</xdr:row>
      <xdr:rowOff>11723</xdr:rowOff>
    </xdr:from>
    <xdr:to>
      <xdr:col>18</xdr:col>
      <xdr:colOff>400893</xdr:colOff>
      <xdr:row>36</xdr:row>
      <xdr:rowOff>108349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628043-5E9B-34CE-C84F-91A68473D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39709" y="1471246"/>
          <a:ext cx="5770061" cy="5559580"/>
        </a:xfrm>
        <a:prstGeom prst="rect">
          <a:avLst/>
        </a:prstGeom>
      </xdr:spPr>
    </xdr:pic>
    <xdr:clientData/>
  </xdr:twoCellAnchor>
  <xdr:twoCellAnchor>
    <xdr:from>
      <xdr:col>0</xdr:col>
      <xdr:colOff>339970</xdr:colOff>
      <xdr:row>21</xdr:row>
      <xdr:rowOff>140677</xdr:rowOff>
    </xdr:from>
    <xdr:to>
      <xdr:col>7</xdr:col>
      <xdr:colOff>386862</xdr:colOff>
      <xdr:row>45</xdr:row>
      <xdr:rowOff>17585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19BC4B-413D-199B-3CDB-C7ACDFDFE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E122E-E8F4-41CE-857F-1F68A63A63E5}">
  <dimension ref="B2:H7"/>
  <sheetViews>
    <sheetView workbookViewId="0">
      <selection activeCell="B8" sqref="B8"/>
    </sheetView>
  </sheetViews>
  <sheetFormatPr defaultRowHeight="14.4" x14ac:dyDescent="0.3"/>
  <sheetData>
    <row r="2" spans="2:8" x14ac:dyDescent="0.3">
      <c r="B2" t="s">
        <v>0</v>
      </c>
      <c r="H2" t="s">
        <v>1</v>
      </c>
    </row>
    <row r="3" spans="2:8" x14ac:dyDescent="0.3">
      <c r="F3" t="s">
        <v>2</v>
      </c>
      <c r="H3" t="s">
        <v>3</v>
      </c>
    </row>
    <row r="4" spans="2:8" x14ac:dyDescent="0.3">
      <c r="F4" t="s">
        <v>4</v>
      </c>
      <c r="H4" t="s">
        <v>5</v>
      </c>
    </row>
    <row r="6" spans="2:8" x14ac:dyDescent="0.3">
      <c r="B6" t="s">
        <v>33</v>
      </c>
    </row>
    <row r="7" spans="2:8" x14ac:dyDescent="0.3">
      <c r="C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88389-8A38-47A5-B226-25FB0B501A93}">
  <dimension ref="B1:J21"/>
  <sheetViews>
    <sheetView tabSelected="1" topLeftCell="A4" zoomScale="130" zoomScaleNormal="130" workbookViewId="0">
      <selection activeCell="F16" sqref="F16"/>
    </sheetView>
  </sheetViews>
  <sheetFormatPr defaultRowHeight="14.4" x14ac:dyDescent="0.3"/>
  <cols>
    <col min="2" max="2" width="21.109375" bestFit="1" customWidth="1"/>
    <col min="3" max="3" width="10.33203125" bestFit="1" customWidth="1"/>
    <col min="4" max="4" width="9.77734375" customWidth="1"/>
    <col min="5" max="5" width="11.109375" customWidth="1"/>
    <col min="6" max="7" width="10.77734375" customWidth="1"/>
    <col min="8" max="8" width="9.33203125" customWidth="1"/>
  </cols>
  <sheetData>
    <row r="1" spans="2:10" x14ac:dyDescent="0.3">
      <c r="B1" t="s">
        <v>35</v>
      </c>
      <c r="C1" s="2">
        <v>45990</v>
      </c>
    </row>
    <row r="2" spans="2:10" x14ac:dyDescent="0.3">
      <c r="C2" s="2"/>
      <c r="D2" t="s">
        <v>36</v>
      </c>
    </row>
    <row r="3" spans="2:10" x14ac:dyDescent="0.3">
      <c r="C3" s="2"/>
      <c r="D3" s="4" t="s">
        <v>37</v>
      </c>
      <c r="E3" s="3">
        <v>1448.81</v>
      </c>
    </row>
    <row r="4" spans="2:10" x14ac:dyDescent="0.3">
      <c r="C4" s="2"/>
      <c r="D4" s="6" t="s">
        <v>39</v>
      </c>
      <c r="E4" s="7">
        <v>7062.49</v>
      </c>
    </row>
    <row r="5" spans="2:10" x14ac:dyDescent="0.3">
      <c r="D5" s="8" t="s">
        <v>31</v>
      </c>
      <c r="E5" s="14">
        <f>SUM(E3:E4)</f>
        <v>8511.2999999999993</v>
      </c>
    </row>
    <row r="6" spans="2:10" ht="43.2" x14ac:dyDescent="0.3">
      <c r="B6" s="19" t="s">
        <v>6</v>
      </c>
      <c r="C6" s="20" t="s">
        <v>7</v>
      </c>
      <c r="D6" s="21" t="s">
        <v>19</v>
      </c>
      <c r="E6" s="21" t="s">
        <v>44</v>
      </c>
      <c r="F6" s="22" t="s">
        <v>43</v>
      </c>
      <c r="G6" s="22" t="s">
        <v>45</v>
      </c>
      <c r="H6" s="22" t="s">
        <v>40</v>
      </c>
      <c r="I6" s="23"/>
      <c r="J6" t="s">
        <v>32</v>
      </c>
    </row>
    <row r="7" spans="2:10" x14ac:dyDescent="0.3">
      <c r="B7" s="13" t="s">
        <v>8</v>
      </c>
      <c r="C7" s="13" t="s">
        <v>20</v>
      </c>
      <c r="D7" s="15">
        <v>6.4699999999999994E-2</v>
      </c>
      <c r="E7" s="16">
        <f>$E$5*D7</f>
        <v>550.68110999999988</v>
      </c>
      <c r="F7" s="17">
        <v>440.08</v>
      </c>
      <c r="G7" s="18">
        <f>F7/$E$5</f>
        <v>5.1705379906712257E-2</v>
      </c>
      <c r="H7" s="13" t="s">
        <v>38</v>
      </c>
    </row>
    <row r="8" spans="2:10" x14ac:dyDescent="0.3">
      <c r="B8" s="9" t="s">
        <v>9</v>
      </c>
      <c r="C8" s="9" t="s">
        <v>21</v>
      </c>
      <c r="D8" s="10">
        <v>0.05</v>
      </c>
      <c r="E8" s="11">
        <f t="shared" ref="E8:E19" si="0">$E$5*D8</f>
        <v>425.565</v>
      </c>
      <c r="F8" s="12">
        <v>414.75</v>
      </c>
      <c r="G8" s="18">
        <f t="shared" ref="G8:G20" si="1">F8/$E$5</f>
        <v>4.8729336294103136E-2</v>
      </c>
      <c r="H8" s="9" t="s">
        <v>38</v>
      </c>
    </row>
    <row r="9" spans="2:10" x14ac:dyDescent="0.3">
      <c r="B9" s="9" t="s">
        <v>10</v>
      </c>
      <c r="C9" s="9" t="s">
        <v>22</v>
      </c>
      <c r="D9" s="10">
        <v>0.1</v>
      </c>
      <c r="E9" s="11">
        <f t="shared" si="0"/>
        <v>851.13</v>
      </c>
      <c r="F9" s="12">
        <v>791.76</v>
      </c>
      <c r="G9" s="18">
        <f t="shared" si="1"/>
        <v>9.3024567339889327E-2</v>
      </c>
      <c r="H9" s="9" t="s">
        <v>38</v>
      </c>
    </row>
    <row r="10" spans="2:10" x14ac:dyDescent="0.3">
      <c r="B10" s="9" t="s">
        <v>11</v>
      </c>
      <c r="C10" s="9" t="s">
        <v>23</v>
      </c>
      <c r="D10" s="10">
        <v>0.1353</v>
      </c>
      <c r="E10" s="11">
        <f t="shared" si="0"/>
        <v>1151.57889</v>
      </c>
      <c r="F10" s="12">
        <v>1110</v>
      </c>
      <c r="G10" s="18">
        <f t="shared" si="1"/>
        <v>0.13041486024461599</v>
      </c>
      <c r="H10" s="9" t="s">
        <v>38</v>
      </c>
    </row>
    <row r="11" spans="2:10" x14ac:dyDescent="0.3">
      <c r="B11" s="9" t="s">
        <v>12</v>
      </c>
      <c r="C11" s="9" t="s">
        <v>24</v>
      </c>
      <c r="D11" s="10">
        <v>0.05</v>
      </c>
      <c r="E11" s="11">
        <f t="shared" si="0"/>
        <v>425.565</v>
      </c>
      <c r="F11" s="12">
        <v>386.64</v>
      </c>
      <c r="G11" s="18">
        <f t="shared" si="1"/>
        <v>4.5426668076557049E-2</v>
      </c>
      <c r="H11" s="9" t="s">
        <v>38</v>
      </c>
    </row>
    <row r="12" spans="2:10" x14ac:dyDescent="0.3">
      <c r="B12" s="9" t="s">
        <v>13</v>
      </c>
      <c r="C12" s="9" t="s">
        <v>25</v>
      </c>
      <c r="D12" s="10">
        <v>0.05</v>
      </c>
      <c r="E12" s="11">
        <f t="shared" si="0"/>
        <v>425.565</v>
      </c>
      <c r="F12" s="12">
        <v>213.99</v>
      </c>
      <c r="G12" s="18">
        <f t="shared" si="1"/>
        <v>2.5141870219590429E-2</v>
      </c>
      <c r="H12" s="9" t="s">
        <v>38</v>
      </c>
    </row>
    <row r="13" spans="2:10" x14ac:dyDescent="0.3">
      <c r="B13" s="28" t="s">
        <v>14</v>
      </c>
      <c r="C13" s="9" t="s">
        <v>26</v>
      </c>
      <c r="D13" s="10">
        <v>2.7E-2</v>
      </c>
      <c r="E13" s="11">
        <f t="shared" si="0"/>
        <v>229.80509999999998</v>
      </c>
      <c r="F13" s="12">
        <v>216.24</v>
      </c>
      <c r="G13" s="18">
        <f t="shared" si="1"/>
        <v>2.5406224666032221E-2</v>
      </c>
      <c r="H13" s="9" t="s">
        <v>38</v>
      </c>
    </row>
    <row r="14" spans="2:10" x14ac:dyDescent="0.3">
      <c r="B14" s="29" t="s">
        <v>14</v>
      </c>
      <c r="C14" s="9" t="s">
        <v>47</v>
      </c>
      <c r="D14" s="10">
        <v>2.3E-2</v>
      </c>
      <c r="E14" s="11">
        <f t="shared" si="0"/>
        <v>195.75989999999999</v>
      </c>
      <c r="F14" s="12">
        <v>197.34</v>
      </c>
      <c r="G14" s="18">
        <f t="shared" si="1"/>
        <v>2.3185647315921189E-2</v>
      </c>
      <c r="H14" s="9" t="s">
        <v>38</v>
      </c>
    </row>
    <row r="15" spans="2:10" x14ac:dyDescent="0.3">
      <c r="B15" s="30" t="s">
        <v>15</v>
      </c>
      <c r="C15" s="9" t="s">
        <v>27</v>
      </c>
      <c r="D15" s="10">
        <v>0.1</v>
      </c>
      <c r="E15" s="11">
        <f t="shared" si="0"/>
        <v>851.13</v>
      </c>
      <c r="F15" s="12">
        <v>752.22</v>
      </c>
      <c r="G15" s="18">
        <f t="shared" si="1"/>
        <v>8.8378978534418964E-2</v>
      </c>
      <c r="H15" s="9" t="s">
        <v>41</v>
      </c>
    </row>
    <row r="16" spans="2:10" x14ac:dyDescent="0.3">
      <c r="B16" s="30" t="s">
        <v>15</v>
      </c>
      <c r="C16" s="9" t="s">
        <v>42</v>
      </c>
      <c r="D16" s="10">
        <v>0.05</v>
      </c>
      <c r="E16" s="11">
        <f t="shared" si="0"/>
        <v>425.565</v>
      </c>
      <c r="F16" s="12">
        <v>449.6</v>
      </c>
      <c r="G16" s="18">
        <f t="shared" si="1"/>
        <v>5.2823892942323744E-2</v>
      </c>
      <c r="H16" s="9" t="s">
        <v>41</v>
      </c>
    </row>
    <row r="17" spans="2:9" x14ac:dyDescent="0.3">
      <c r="B17" s="9" t="s">
        <v>16</v>
      </c>
      <c r="C17" s="9" t="s">
        <v>28</v>
      </c>
      <c r="D17" s="10">
        <v>0.15</v>
      </c>
      <c r="E17" s="11">
        <f t="shared" si="0"/>
        <v>1276.6949999999999</v>
      </c>
      <c r="F17" s="12">
        <v>1243.52</v>
      </c>
      <c r="G17" s="18">
        <f t="shared" si="1"/>
        <v>0.14610224055079718</v>
      </c>
      <c r="H17" s="9" t="s">
        <v>38</v>
      </c>
    </row>
    <row r="18" spans="2:9" x14ac:dyDescent="0.3">
      <c r="B18" s="9" t="s">
        <v>17</v>
      </c>
      <c r="C18" s="9" t="s">
        <v>29</v>
      </c>
      <c r="D18" s="10">
        <v>2.5000000000000001E-2</v>
      </c>
      <c r="E18" s="11">
        <f t="shared" si="0"/>
        <v>212.7825</v>
      </c>
      <c r="F18" s="12">
        <v>184.24</v>
      </c>
      <c r="G18" s="18">
        <f t="shared" si="1"/>
        <v>2.164651698330455E-2</v>
      </c>
      <c r="H18" s="9" t="s">
        <v>38</v>
      </c>
    </row>
    <row r="19" spans="2:9" x14ac:dyDescent="0.3">
      <c r="B19" s="9" t="s">
        <v>18</v>
      </c>
      <c r="C19" s="9" t="s">
        <v>30</v>
      </c>
      <c r="D19" s="10">
        <v>0.17499999999999999</v>
      </c>
      <c r="E19" s="11">
        <f t="shared" si="0"/>
        <v>1489.4774999999997</v>
      </c>
      <c r="F19" s="12">
        <v>1422.56</v>
      </c>
      <c r="G19" s="18">
        <f t="shared" si="1"/>
        <v>0.16713780503565848</v>
      </c>
      <c r="H19" s="9" t="s">
        <v>38</v>
      </c>
    </row>
    <row r="20" spans="2:9" ht="15" thickBot="1" x14ac:dyDescent="0.35">
      <c r="B20" s="24" t="s">
        <v>46</v>
      </c>
      <c r="C20" s="25"/>
      <c r="D20" s="25"/>
      <c r="E20" s="25"/>
      <c r="F20" s="26">
        <f>E5-SUM(F7:F19)</f>
        <v>688.35999999999876</v>
      </c>
      <c r="G20" s="27">
        <f t="shared" si="1"/>
        <v>8.0876011890075414E-2</v>
      </c>
      <c r="H20" s="25"/>
      <c r="I20" s="25"/>
    </row>
    <row r="21" spans="2:9" x14ac:dyDescent="0.3">
      <c r="C21" t="s">
        <v>31</v>
      </c>
      <c r="D21" s="1">
        <f>SUM(D7:D20)</f>
        <v>1</v>
      </c>
      <c r="E21" s="5">
        <f>SUM(E7:E20)</f>
        <v>8511.2999999999993</v>
      </c>
      <c r="F21" s="5">
        <f>SUM(F7:F20)</f>
        <v>8511.2999999999993</v>
      </c>
      <c r="G21" s="1">
        <f>SUM(G7:G20)</f>
        <v>1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Portfolio 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J Rodriguez</dc:creator>
  <cp:lastModifiedBy>Emmanuel J Rodriguez</cp:lastModifiedBy>
  <dcterms:created xsi:type="dcterms:W3CDTF">2025-11-29T23:29:33Z</dcterms:created>
  <dcterms:modified xsi:type="dcterms:W3CDTF">2025-12-02T02:50:40Z</dcterms:modified>
</cp:coreProperties>
</file>